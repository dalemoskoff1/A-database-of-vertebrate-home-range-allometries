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lemoskoff/Desktop/PhD/Research/Chapter 3/Full draft 2026/Figures and tables/"/>
    </mc:Choice>
  </mc:AlternateContent>
  <xr:revisionPtr revIDLastSave="0" documentId="13_ncr:1_{AC93360E-8E52-DC44-92FD-65ED6D8C4EE6}" xr6:coauthVersionLast="47" xr6:coauthVersionMax="47" xr10:uidLastSave="{00000000-0000-0000-0000-000000000000}"/>
  <bookViews>
    <workbookView xWindow="0" yWindow="660" windowWidth="30240" windowHeight="18980" xr2:uid="{5C734C1A-FE48-5842-A5C3-1312D18703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F15" i="1"/>
  <c r="F14" i="1"/>
  <c r="F13" i="1"/>
  <c r="F12" i="1"/>
  <c r="F11" i="1"/>
  <c r="F10" i="1"/>
  <c r="F9" i="1"/>
  <c r="F8" i="1"/>
  <c r="F7" i="1"/>
  <c r="F6" i="1"/>
  <c r="F5" i="1"/>
  <c r="F4" i="1"/>
  <c r="F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tc={960A2D6A-64D6-7044-985A-DB70777B27B8}</author>
  </authors>
  <commentList>
    <comment ref="E2" authorId="0" shapeId="0" xr:uid="{960A2D6A-64D6-7044-985A-DB70777B27B8}">
      <text>
        <t>[Threaded comment]
Your version of Excel allows you to read this threaded comment; however, any edits to it will get removed if the file is opened in a newer version of Excel. Learn more: https://go.microsoft.com/fwlink/?linkid=870924
Comment:
    Users can input their species' average BM here and obtain a prediction of HRA from column F</t>
      </text>
    </comment>
  </commentList>
</comments>
</file>

<file path=xl/sharedStrings.xml><?xml version="1.0" encoding="utf-8"?>
<sst xmlns="http://schemas.openxmlformats.org/spreadsheetml/2006/main" count="44" uniqueCount="35">
  <si>
    <t>Taxonomy</t>
  </si>
  <si>
    <t>Environment</t>
  </si>
  <si>
    <t>Trophic level or foraging mode</t>
  </si>
  <si>
    <t>Birds</t>
  </si>
  <si>
    <t>Mammals</t>
  </si>
  <si>
    <t>Terrestrial</t>
  </si>
  <si>
    <t>Aerial</t>
  </si>
  <si>
    <t>Marine</t>
  </si>
  <si>
    <t>Fishes</t>
  </si>
  <si>
    <t>Lizards</t>
  </si>
  <si>
    <t>Herbivorous</t>
  </si>
  <si>
    <t>Snakes</t>
  </si>
  <si>
    <t>Terrestrial and aquatic</t>
  </si>
  <si>
    <t>Turtles</t>
  </si>
  <si>
    <t>Freshwater</t>
  </si>
  <si>
    <t>Carnivorous</t>
  </si>
  <si>
    <r>
      <t>log</t>
    </r>
    <r>
      <rPr>
        <vertAlign val="subscript"/>
        <sz val="12"/>
        <color theme="1"/>
        <rFont val="Aptos Narrow (Body)"/>
      </rPr>
      <t>10</t>
    </r>
    <r>
      <rPr>
        <sz val="12"/>
        <color theme="1"/>
        <rFont val="Aptos Narrow"/>
        <scheme val="minor"/>
      </rPr>
      <t>(</t>
    </r>
    <r>
      <rPr>
        <i/>
        <sz val="12"/>
        <color theme="1"/>
        <rFont val="Aptos Narrow"/>
        <scheme val="minor"/>
      </rPr>
      <t>HRA</t>
    </r>
    <r>
      <rPr>
        <sz val="12"/>
        <color theme="1"/>
        <rFont val="Aptos Narrow"/>
        <scheme val="minor"/>
      </rPr>
      <t>) = 0.15 * log</t>
    </r>
    <r>
      <rPr>
        <vertAlign val="subscript"/>
        <sz val="12"/>
        <color theme="1"/>
        <rFont val="Aptos Narrow (Body)"/>
      </rPr>
      <t>10</t>
    </r>
    <r>
      <rPr>
        <sz val="12"/>
        <color theme="1"/>
        <rFont val="Aptos Narrow"/>
        <scheme val="minor"/>
      </rPr>
      <t>(</t>
    </r>
    <r>
      <rPr>
        <i/>
        <sz val="12"/>
        <color theme="1"/>
        <rFont val="Aptos Narrow"/>
        <scheme val="minor"/>
      </rPr>
      <t>m</t>
    </r>
    <r>
      <rPr>
        <sz val="12"/>
        <color theme="1"/>
        <rFont val="Aptos Narrow"/>
        <scheme val="minor"/>
      </rPr>
      <t>) + 1.1</t>
    </r>
  </si>
  <si>
    <r>
      <t>Allometric formula (log</t>
    </r>
    <r>
      <rPr>
        <vertAlign val="subscript"/>
        <sz val="12"/>
        <color theme="1"/>
        <rFont val="Aptos Narrow (Body)"/>
      </rPr>
      <t>10</t>
    </r>
    <r>
      <rPr>
        <sz val="12"/>
        <color theme="1"/>
        <rFont val="Aptos Narrow"/>
        <family val="2"/>
        <scheme val="minor"/>
      </rPr>
      <t>(HRA) = b * log</t>
    </r>
    <r>
      <rPr>
        <vertAlign val="subscript"/>
        <sz val="12"/>
        <color theme="1"/>
        <rFont val="Aptos Narrow (Body)"/>
      </rPr>
      <t>10</t>
    </r>
    <r>
      <rPr>
        <sz val="12"/>
        <color theme="1"/>
        <rFont val="Aptos Narrow"/>
        <family val="2"/>
        <scheme val="minor"/>
      </rPr>
      <t>(</t>
    </r>
    <r>
      <rPr>
        <i/>
        <sz val="12"/>
        <color theme="1"/>
        <rFont val="Aptos Narrow"/>
        <scheme val="minor"/>
      </rPr>
      <t>m</t>
    </r>
    <r>
      <rPr>
        <sz val="12"/>
        <color theme="1"/>
        <rFont val="Aptos Narrow"/>
        <scheme val="minor"/>
      </rPr>
      <t>)</t>
    </r>
    <r>
      <rPr>
        <sz val="12"/>
        <color theme="1"/>
        <rFont val="Aptos Narrow"/>
        <family val="2"/>
        <scheme val="minor"/>
      </rPr>
      <t xml:space="preserve"> + log</t>
    </r>
    <r>
      <rPr>
        <vertAlign val="subscript"/>
        <sz val="12"/>
        <color theme="1"/>
        <rFont val="Aptos Narrow (Body)"/>
      </rPr>
      <t>10</t>
    </r>
    <r>
      <rPr>
        <sz val="12"/>
        <color theme="1"/>
        <rFont val="Aptos Narrow"/>
        <family val="2"/>
        <scheme val="minor"/>
      </rPr>
      <t>a)</t>
    </r>
  </si>
  <si>
    <r>
      <t>log</t>
    </r>
    <r>
      <rPr>
        <vertAlign val="subscript"/>
        <sz val="12"/>
        <color theme="1"/>
        <rFont val="Aptos Narrow (Body)"/>
      </rPr>
      <t>10</t>
    </r>
    <r>
      <rPr>
        <sz val="12"/>
        <color theme="1"/>
        <rFont val="Aptos Narrow"/>
        <scheme val="minor"/>
      </rPr>
      <t>(</t>
    </r>
    <r>
      <rPr>
        <i/>
        <sz val="12"/>
        <color theme="1"/>
        <rFont val="Aptos Narrow"/>
        <scheme val="minor"/>
      </rPr>
      <t>HRA</t>
    </r>
    <r>
      <rPr>
        <sz val="12"/>
        <color theme="1"/>
        <rFont val="Aptos Narrow"/>
        <scheme val="minor"/>
      </rPr>
      <t>) = 1.00  * log</t>
    </r>
    <r>
      <rPr>
        <vertAlign val="subscript"/>
        <sz val="12"/>
        <color theme="1"/>
        <rFont val="Aptos Narrow (Body)"/>
      </rPr>
      <t>10</t>
    </r>
    <r>
      <rPr>
        <sz val="12"/>
        <color theme="1"/>
        <rFont val="Aptos Narrow"/>
        <scheme val="minor"/>
      </rPr>
      <t>(</t>
    </r>
    <r>
      <rPr>
        <i/>
        <sz val="12"/>
        <color theme="1"/>
        <rFont val="Aptos Narrow"/>
        <scheme val="minor"/>
      </rPr>
      <t>m</t>
    </r>
    <r>
      <rPr>
        <sz val="12"/>
        <color theme="1"/>
        <rFont val="Aptos Narrow"/>
        <scheme val="minor"/>
      </rPr>
      <t>) - 1.47</t>
    </r>
  </si>
  <si>
    <t>m</t>
  </si>
  <si>
    <t>HRA</t>
  </si>
  <si>
    <r>
      <t>log</t>
    </r>
    <r>
      <rPr>
        <vertAlign val="subscript"/>
        <sz val="12"/>
        <color theme="1"/>
        <rFont val="Aptos Narrow (Body)"/>
      </rPr>
      <t>10</t>
    </r>
    <r>
      <rPr>
        <sz val="12"/>
        <color theme="1"/>
        <rFont val="Aptos Narrow (Body)"/>
      </rPr>
      <t>(</t>
    </r>
    <r>
      <rPr>
        <i/>
        <sz val="12"/>
        <color theme="1"/>
        <rFont val="Aptos Narrow"/>
        <scheme val="minor"/>
      </rPr>
      <t>HRA</t>
    </r>
    <r>
      <rPr>
        <sz val="12"/>
        <color theme="1"/>
        <rFont val="Aptos Narrow"/>
        <scheme val="minor"/>
      </rPr>
      <t>) = 0.81 * log</t>
    </r>
    <r>
      <rPr>
        <vertAlign val="subscript"/>
        <sz val="12"/>
        <color theme="1"/>
        <rFont val="Aptos Narrow (Body)"/>
      </rPr>
      <t>10</t>
    </r>
    <r>
      <rPr>
        <sz val="12"/>
        <color theme="1"/>
        <rFont val="Aptos Narrow"/>
        <scheme val="minor"/>
      </rPr>
      <t>(</t>
    </r>
    <r>
      <rPr>
        <i/>
        <sz val="12"/>
        <color theme="1"/>
        <rFont val="Aptos Narrow"/>
        <scheme val="minor"/>
      </rPr>
      <t>m</t>
    </r>
    <r>
      <rPr>
        <sz val="12"/>
        <color theme="1"/>
        <rFont val="Aptos Narrow"/>
        <scheme val="minor"/>
      </rPr>
      <t>) + 1.23</t>
    </r>
  </si>
  <si>
    <r>
      <t>log</t>
    </r>
    <r>
      <rPr>
        <vertAlign val="subscript"/>
        <sz val="12"/>
        <color theme="1"/>
        <rFont val="Aptos Narrow (Body)"/>
      </rPr>
      <t>10</t>
    </r>
    <r>
      <rPr>
        <sz val="12"/>
        <color theme="1"/>
        <rFont val="Aptos Narrow"/>
        <scheme val="minor"/>
      </rPr>
      <t>(</t>
    </r>
    <r>
      <rPr>
        <i/>
        <sz val="12"/>
        <color theme="1"/>
        <rFont val="Aptos Narrow"/>
        <scheme val="minor"/>
      </rPr>
      <t>HRA</t>
    </r>
    <r>
      <rPr>
        <sz val="12"/>
        <color theme="1"/>
        <rFont val="Aptos Narrow"/>
        <scheme val="minor"/>
      </rPr>
      <t>) = 1.00 * log</t>
    </r>
    <r>
      <rPr>
        <vertAlign val="subscript"/>
        <sz val="12"/>
        <color theme="1"/>
        <rFont val="Aptos Narrow (Body)"/>
      </rPr>
      <t>10</t>
    </r>
    <r>
      <rPr>
        <sz val="12"/>
        <color theme="1"/>
        <rFont val="Aptos Narrow"/>
        <scheme val="minor"/>
      </rPr>
      <t>(</t>
    </r>
    <r>
      <rPr>
        <i/>
        <sz val="12"/>
        <color theme="1"/>
        <rFont val="Aptos Narrow"/>
        <scheme val="minor"/>
      </rPr>
      <t>m</t>
    </r>
    <r>
      <rPr>
        <sz val="12"/>
        <color theme="1"/>
        <rFont val="Aptos Narrow"/>
        <scheme val="minor"/>
      </rPr>
      <t>) - 1.07</t>
    </r>
  </si>
  <si>
    <r>
      <t>log</t>
    </r>
    <r>
      <rPr>
        <vertAlign val="subscript"/>
        <sz val="12"/>
        <color theme="1"/>
        <rFont val="Aptos Narrow (Body)"/>
      </rPr>
      <t>10</t>
    </r>
    <r>
      <rPr>
        <sz val="12"/>
        <color theme="1"/>
        <rFont val="Aptos Narrow"/>
        <scheme val="minor"/>
      </rPr>
      <t>(</t>
    </r>
    <r>
      <rPr>
        <i/>
        <sz val="12"/>
        <color theme="1"/>
        <rFont val="Aptos Narrow"/>
        <scheme val="minor"/>
      </rPr>
      <t>HRA</t>
    </r>
    <r>
      <rPr>
        <sz val="12"/>
        <color theme="1"/>
        <rFont val="Aptos Narrow"/>
        <scheme val="minor"/>
      </rPr>
      <t>) = 1.07 * log</t>
    </r>
    <r>
      <rPr>
        <vertAlign val="subscript"/>
        <sz val="12"/>
        <color theme="1"/>
        <rFont val="Aptos Narrow (Body)"/>
      </rPr>
      <t>10</t>
    </r>
    <r>
      <rPr>
        <sz val="12"/>
        <color theme="1"/>
        <rFont val="Aptos Narrow"/>
        <scheme val="minor"/>
      </rPr>
      <t>(</t>
    </r>
    <r>
      <rPr>
        <i/>
        <sz val="12"/>
        <color theme="1"/>
        <rFont val="Aptos Narrow"/>
        <scheme val="minor"/>
      </rPr>
      <t>m</t>
    </r>
    <r>
      <rPr>
        <sz val="12"/>
        <color theme="1"/>
        <rFont val="Aptos Narrow"/>
        <scheme val="minor"/>
      </rPr>
      <t>)  - 0.79</t>
    </r>
  </si>
  <si>
    <r>
      <t>log</t>
    </r>
    <r>
      <rPr>
        <vertAlign val="subscript"/>
        <sz val="12"/>
        <color theme="1"/>
        <rFont val="Aptos Narrow (Body)"/>
      </rPr>
      <t>10</t>
    </r>
    <r>
      <rPr>
        <sz val="12"/>
        <color theme="1"/>
        <rFont val="Aptos Narrow"/>
        <scheme val="minor"/>
      </rPr>
      <t>(</t>
    </r>
    <r>
      <rPr>
        <i/>
        <sz val="12"/>
        <color theme="1"/>
        <rFont val="Aptos Narrow"/>
        <scheme val="minor"/>
      </rPr>
      <t>HRA</t>
    </r>
    <r>
      <rPr>
        <sz val="12"/>
        <color theme="1"/>
        <rFont val="Aptos Narrow"/>
        <scheme val="minor"/>
      </rPr>
      <t>) = 2.11 * log</t>
    </r>
    <r>
      <rPr>
        <vertAlign val="subscript"/>
        <sz val="12"/>
        <color theme="1"/>
        <rFont val="Aptos Narrow (Body)"/>
      </rPr>
      <t>10</t>
    </r>
    <r>
      <rPr>
        <sz val="12"/>
        <color theme="1"/>
        <rFont val="Aptos Narrow"/>
        <scheme val="minor"/>
      </rPr>
      <t>(</t>
    </r>
    <r>
      <rPr>
        <i/>
        <sz val="12"/>
        <color theme="1"/>
        <rFont val="Aptos Narrow"/>
        <scheme val="minor"/>
      </rPr>
      <t>m</t>
    </r>
    <r>
      <rPr>
        <sz val="12"/>
        <color theme="1"/>
        <rFont val="Aptos Narrow"/>
        <scheme val="minor"/>
      </rPr>
      <t>)  - 1.49</t>
    </r>
  </si>
  <si>
    <r>
      <t>log</t>
    </r>
    <r>
      <rPr>
        <vertAlign val="subscript"/>
        <sz val="12"/>
        <color theme="1"/>
        <rFont val="Aptos Narrow (Body)"/>
      </rPr>
      <t>10</t>
    </r>
    <r>
      <rPr>
        <sz val="12"/>
        <color theme="1"/>
        <rFont val="Aptos Narrow"/>
        <scheme val="minor"/>
      </rPr>
      <t>(</t>
    </r>
    <r>
      <rPr>
        <i/>
        <sz val="12"/>
        <color theme="1"/>
        <rFont val="Aptos Narrow"/>
        <scheme val="minor"/>
      </rPr>
      <t>HRA</t>
    </r>
    <r>
      <rPr>
        <sz val="12"/>
        <color theme="1"/>
        <rFont val="Aptos Narrow"/>
        <scheme val="minor"/>
      </rPr>
      <t>) = 1.22 * log</t>
    </r>
    <r>
      <rPr>
        <vertAlign val="subscript"/>
        <sz val="12"/>
        <color theme="1"/>
        <rFont val="Aptos Narrow (Body)"/>
      </rPr>
      <t>10</t>
    </r>
    <r>
      <rPr>
        <sz val="12"/>
        <color theme="1"/>
        <rFont val="Aptos Narrow"/>
        <scheme val="minor"/>
      </rPr>
      <t>(</t>
    </r>
    <r>
      <rPr>
        <i/>
        <sz val="12"/>
        <color theme="1"/>
        <rFont val="Aptos Narrow"/>
        <scheme val="minor"/>
      </rPr>
      <t>m</t>
    </r>
    <r>
      <rPr>
        <sz val="12"/>
        <color theme="1"/>
        <rFont val="Aptos Narrow"/>
        <scheme val="minor"/>
      </rPr>
      <t>) - 2.02</t>
    </r>
  </si>
  <si>
    <r>
      <t>log</t>
    </r>
    <r>
      <rPr>
        <vertAlign val="subscript"/>
        <sz val="12"/>
        <color theme="1"/>
        <rFont val="Aptos Narrow (Body)"/>
      </rPr>
      <t>10</t>
    </r>
    <r>
      <rPr>
        <sz val="12"/>
        <color theme="1"/>
        <rFont val="Aptos Narrow"/>
        <scheme val="minor"/>
      </rPr>
      <t>(</t>
    </r>
    <r>
      <rPr>
        <i/>
        <sz val="12"/>
        <color theme="1"/>
        <rFont val="Aptos Narrow"/>
        <scheme val="minor"/>
      </rPr>
      <t>HRA</t>
    </r>
    <r>
      <rPr>
        <sz val="12"/>
        <color theme="1"/>
        <rFont val="Aptos Narrow"/>
        <scheme val="minor"/>
      </rPr>
      <t>) = 0.26 * log</t>
    </r>
    <r>
      <rPr>
        <vertAlign val="subscript"/>
        <sz val="12"/>
        <color theme="1"/>
        <rFont val="Aptos Narrow (Body)"/>
      </rPr>
      <t>10</t>
    </r>
    <r>
      <rPr>
        <sz val="12"/>
        <color theme="1"/>
        <rFont val="Aptos Narrow"/>
        <scheme val="minor"/>
      </rPr>
      <t>(</t>
    </r>
    <r>
      <rPr>
        <i/>
        <sz val="12"/>
        <color theme="1"/>
        <rFont val="Aptos Narrow"/>
        <scheme val="minor"/>
      </rPr>
      <t>m</t>
    </r>
    <r>
      <rPr>
        <sz val="12"/>
        <color theme="1"/>
        <rFont val="Aptos Narrow"/>
        <scheme val="minor"/>
      </rPr>
      <t>) - 0.07</t>
    </r>
  </si>
  <si>
    <r>
      <t>log</t>
    </r>
    <r>
      <rPr>
        <vertAlign val="subscript"/>
        <sz val="12"/>
        <color theme="1"/>
        <rFont val="Aptos Narrow (Body)"/>
      </rPr>
      <t>10</t>
    </r>
    <r>
      <rPr>
        <sz val="12"/>
        <color theme="1"/>
        <rFont val="Aptos Narrow"/>
        <scheme val="minor"/>
      </rPr>
      <t>(</t>
    </r>
    <r>
      <rPr>
        <i/>
        <sz val="12"/>
        <color theme="1"/>
        <rFont val="Aptos Narrow"/>
        <scheme val="minor"/>
      </rPr>
      <t>HRA</t>
    </r>
    <r>
      <rPr>
        <sz val="12"/>
        <color theme="1"/>
        <rFont val="Aptos Narrow"/>
        <scheme val="minor"/>
      </rPr>
      <t>) = 1.19 * log</t>
    </r>
    <r>
      <rPr>
        <vertAlign val="subscript"/>
        <sz val="12"/>
        <color theme="1"/>
        <rFont val="Aptos Narrow (Body)"/>
      </rPr>
      <t>10</t>
    </r>
    <r>
      <rPr>
        <sz val="12"/>
        <color theme="1"/>
        <rFont val="Aptos Narrow"/>
        <scheme val="minor"/>
      </rPr>
      <t>(</t>
    </r>
    <r>
      <rPr>
        <i/>
        <sz val="12"/>
        <color theme="1"/>
        <rFont val="Aptos Narrow"/>
        <scheme val="minor"/>
      </rPr>
      <t>m</t>
    </r>
    <r>
      <rPr>
        <sz val="12"/>
        <color theme="1"/>
        <rFont val="Aptos Narrow"/>
        <scheme val="minor"/>
      </rPr>
      <t>) + 0.02</t>
    </r>
  </si>
  <si>
    <r>
      <t>log</t>
    </r>
    <r>
      <rPr>
        <vertAlign val="subscript"/>
        <sz val="12"/>
        <color theme="1"/>
        <rFont val="Aptos Narrow (Body)"/>
      </rPr>
      <t>10</t>
    </r>
    <r>
      <rPr>
        <sz val="12"/>
        <color theme="1"/>
        <rFont val="Aptos Narrow"/>
        <scheme val="minor"/>
      </rPr>
      <t>(</t>
    </r>
    <r>
      <rPr>
        <i/>
        <sz val="12"/>
        <color theme="1"/>
        <rFont val="Aptos Narrow"/>
        <scheme val="minor"/>
      </rPr>
      <t>HRA</t>
    </r>
    <r>
      <rPr>
        <sz val="12"/>
        <color theme="1"/>
        <rFont val="Aptos Narrow"/>
        <scheme val="minor"/>
      </rPr>
      <t>) = 0.37 * log</t>
    </r>
    <r>
      <rPr>
        <vertAlign val="subscript"/>
        <sz val="12"/>
        <color theme="1"/>
        <rFont val="Aptos Narrow (Body)"/>
      </rPr>
      <t>10</t>
    </r>
    <r>
      <rPr>
        <sz val="12"/>
        <color theme="1"/>
        <rFont val="Aptos Narrow"/>
        <scheme val="minor"/>
      </rPr>
      <t>(</t>
    </r>
    <r>
      <rPr>
        <i/>
        <sz val="12"/>
        <color theme="1"/>
        <rFont val="Aptos Narrow"/>
        <scheme val="minor"/>
      </rPr>
      <t>m</t>
    </r>
    <r>
      <rPr>
        <sz val="12"/>
        <color theme="1"/>
        <rFont val="Aptos Narrow"/>
        <scheme val="minor"/>
      </rPr>
      <t>) + 3.45</t>
    </r>
  </si>
  <si>
    <r>
      <t>log</t>
    </r>
    <r>
      <rPr>
        <vertAlign val="subscript"/>
        <sz val="12"/>
        <color theme="1"/>
        <rFont val="Aptos Narrow (Body)"/>
      </rPr>
      <t>10</t>
    </r>
    <r>
      <rPr>
        <sz val="12"/>
        <color theme="1"/>
        <rFont val="Aptos Narrow"/>
        <scheme val="minor"/>
      </rPr>
      <t>(</t>
    </r>
    <r>
      <rPr>
        <i/>
        <sz val="12"/>
        <color theme="1"/>
        <rFont val="Aptos Narrow"/>
        <scheme val="minor"/>
      </rPr>
      <t>HRA</t>
    </r>
    <r>
      <rPr>
        <sz val="12"/>
        <color theme="1"/>
        <rFont val="Aptos Narrow"/>
        <scheme val="minor"/>
      </rPr>
      <t>) = 1.27 * log</t>
    </r>
    <r>
      <rPr>
        <vertAlign val="subscript"/>
        <sz val="12"/>
        <color theme="1"/>
        <rFont val="Aptos Narrow (Body)"/>
      </rPr>
      <t>10</t>
    </r>
    <r>
      <rPr>
        <sz val="12"/>
        <color theme="1"/>
        <rFont val="Aptos Narrow"/>
        <scheme val="minor"/>
      </rPr>
      <t>(</t>
    </r>
    <r>
      <rPr>
        <i/>
        <sz val="12"/>
        <color theme="1"/>
        <rFont val="Aptos Narrow"/>
        <scheme val="minor"/>
      </rPr>
      <t>m</t>
    </r>
    <r>
      <rPr>
        <sz val="12"/>
        <color theme="1"/>
        <rFont val="Aptos Narrow"/>
        <scheme val="minor"/>
      </rPr>
      <t>) - 0.77</t>
    </r>
  </si>
  <si>
    <r>
      <t>log</t>
    </r>
    <r>
      <rPr>
        <vertAlign val="subscript"/>
        <sz val="12"/>
        <color theme="1"/>
        <rFont val="Aptos Narrow (Body)"/>
      </rPr>
      <t>10</t>
    </r>
    <r>
      <rPr>
        <sz val="12"/>
        <color theme="1"/>
        <rFont val="Aptos Narrow"/>
        <scheme val="minor"/>
      </rPr>
      <t>(</t>
    </r>
    <r>
      <rPr>
        <i/>
        <sz val="12"/>
        <color theme="1"/>
        <rFont val="Aptos Narrow"/>
        <scheme val="minor"/>
      </rPr>
      <t>HRA</t>
    </r>
    <r>
      <rPr>
        <sz val="12"/>
        <color theme="1"/>
        <rFont val="Aptos Narrow"/>
        <scheme val="minor"/>
      </rPr>
      <t>) = 0.84 * log</t>
    </r>
    <r>
      <rPr>
        <vertAlign val="subscript"/>
        <sz val="12"/>
        <color theme="1"/>
        <rFont val="Aptos Narrow (Body)"/>
      </rPr>
      <t>10</t>
    </r>
    <r>
      <rPr>
        <sz val="12"/>
        <color theme="1"/>
        <rFont val="Aptos Narrow"/>
        <scheme val="minor"/>
      </rPr>
      <t>(</t>
    </r>
    <r>
      <rPr>
        <i/>
        <sz val="12"/>
        <color theme="1"/>
        <rFont val="Aptos Narrow"/>
        <scheme val="minor"/>
      </rPr>
      <t>m</t>
    </r>
    <r>
      <rPr>
        <sz val="12"/>
        <color theme="1"/>
        <rFont val="Aptos Narrow"/>
        <scheme val="minor"/>
      </rPr>
      <t>) - 2.14</t>
    </r>
  </si>
  <si>
    <r>
      <t>log</t>
    </r>
    <r>
      <rPr>
        <vertAlign val="subscript"/>
        <sz val="12"/>
        <color theme="1"/>
        <rFont val="Aptos Narrow (Body)"/>
      </rPr>
      <t>10</t>
    </r>
    <r>
      <rPr>
        <sz val="12"/>
        <color theme="1"/>
        <rFont val="Aptos Narrow"/>
        <scheme val="minor"/>
      </rPr>
      <t>(</t>
    </r>
    <r>
      <rPr>
        <i/>
        <sz val="12"/>
        <color theme="1"/>
        <rFont val="Aptos Narrow"/>
        <scheme val="minor"/>
      </rPr>
      <t>HRA</t>
    </r>
    <r>
      <rPr>
        <sz val="12"/>
        <color theme="1"/>
        <rFont val="Aptos Narrow"/>
        <scheme val="minor"/>
      </rPr>
      <t>) = 1.10 * log</t>
    </r>
    <r>
      <rPr>
        <vertAlign val="subscript"/>
        <sz val="12"/>
        <color theme="1"/>
        <rFont val="Aptos Narrow (Body)"/>
      </rPr>
      <t>10</t>
    </r>
    <r>
      <rPr>
        <sz val="12"/>
        <color theme="1"/>
        <rFont val="Aptos Narrow"/>
        <scheme val="minor"/>
      </rPr>
      <t>(</t>
    </r>
    <r>
      <rPr>
        <i/>
        <sz val="12"/>
        <color theme="1"/>
        <rFont val="Aptos Narrow"/>
        <scheme val="minor"/>
      </rPr>
      <t>m</t>
    </r>
    <r>
      <rPr>
        <sz val="12"/>
        <color theme="1"/>
        <rFont val="Aptos Narrow"/>
        <scheme val="minor"/>
      </rPr>
      <t>) - 0.37</t>
    </r>
  </si>
  <si>
    <r>
      <rPr>
        <sz val="12"/>
        <color theme="1"/>
        <rFont val="Aptos Narrow (Body)"/>
      </rPr>
      <t>log</t>
    </r>
    <r>
      <rPr>
        <vertAlign val="subscript"/>
        <sz val="12"/>
        <color theme="1"/>
        <rFont val="Aptos Narrow (Body)"/>
      </rPr>
      <t>10</t>
    </r>
    <r>
      <rPr>
        <sz val="12"/>
        <color theme="1"/>
        <rFont val="Aptos Narrow (Body)"/>
      </rPr>
      <t>(</t>
    </r>
    <r>
      <rPr>
        <i/>
        <sz val="12"/>
        <color theme="1"/>
        <rFont val="Aptos Narrow"/>
        <scheme val="minor"/>
      </rPr>
      <t>HRA</t>
    </r>
    <r>
      <rPr>
        <sz val="12"/>
        <color theme="1"/>
        <rFont val="Aptos Narrow"/>
        <scheme val="minor"/>
      </rPr>
      <t>) = 1.44 * log</t>
    </r>
    <r>
      <rPr>
        <vertAlign val="subscript"/>
        <sz val="12"/>
        <color theme="1"/>
        <rFont val="Aptos Narrow (Body)"/>
      </rPr>
      <t>10</t>
    </r>
    <r>
      <rPr>
        <sz val="12"/>
        <color theme="1"/>
        <rFont val="Aptos Narrow"/>
        <scheme val="minor"/>
      </rPr>
      <t>(</t>
    </r>
    <r>
      <rPr>
        <i/>
        <sz val="12"/>
        <color theme="1"/>
        <rFont val="Aptos Narrow"/>
        <scheme val="minor"/>
      </rPr>
      <t>m</t>
    </r>
    <r>
      <rPr>
        <sz val="12"/>
        <color theme="1"/>
        <rFont val="Aptos Narrow"/>
        <scheme val="minor"/>
      </rPr>
      <t>) - 0.76</t>
    </r>
  </si>
  <si>
    <t>Omnivorous</t>
  </si>
  <si>
    <r>
      <t xml:space="preserve">Table 4. Database of vertebrate home-range allometries simplified to include only the coarsest groupings required to capture most significant variation in vertebrate scaling relationships (see "Methods"). A subset may be absent from the database because it was subsumed by a hierarchically coarser or equal subset or because there were not enough data to create that subset (see "Results"). </t>
    </r>
    <r>
      <rPr>
        <i/>
        <sz val="12"/>
        <color theme="1"/>
        <rFont val="Aptos Narrow (Body)"/>
      </rPr>
      <t xml:space="preserve">m </t>
    </r>
    <r>
      <rPr>
        <sz val="12"/>
        <color theme="1"/>
        <rFont val="Aptos Narrow (Body)"/>
      </rPr>
      <t xml:space="preserve">= body size (kg), </t>
    </r>
    <r>
      <rPr>
        <i/>
        <sz val="12"/>
        <color theme="1"/>
        <rFont val="Aptos Narrow (Body)"/>
      </rPr>
      <t>HRA =</t>
    </r>
    <r>
      <rPr>
        <sz val="12"/>
        <color theme="1"/>
        <rFont val="Aptos Narrow (Body)"/>
      </rPr>
      <t xml:space="preserve"> home-range area (km [for river fishes] or km</t>
    </r>
    <r>
      <rPr>
        <vertAlign val="superscript"/>
        <sz val="12"/>
        <color theme="1"/>
        <rFont val="Aptos Narrow (Body)"/>
      </rPr>
      <t>2</t>
    </r>
    <r>
      <rPr>
        <sz val="12"/>
        <color theme="1"/>
        <rFont val="Aptos Narrow (Body)"/>
      </rPr>
      <t xml:space="preserve"> [for all other taxa]).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</si>
</sst>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  <font>
      <vertAlign val="subscript"/>
      <sz val="12"/>
      <color theme="1"/>
      <name val="Aptos Narrow (Body)"/>
    </font>
    <font>
      <sz val="12"/>
      <color theme="1"/>
      <name val="Aptos Narrow (Body)"/>
    </font>
    <font>
      <i/>
      <sz val="12"/>
      <color theme="1"/>
      <name val="Aptos Narrow (Body)"/>
    </font>
    <font>
      <vertAlign val="superscript"/>
      <sz val="12"/>
      <color theme="1"/>
      <name val="Aptos Narrow (Body)"/>
    </font>
  </fonts>
  <fills count="3">
    <fill>
      <patternFill patternType="none"/>
    </fill>
    <fill>
      <patternFill patternType="gray125"/>
    </fill>
    <fill>
      <patternFill patternType="lightDown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2" fillId="0" borderId="0" xfId="0" applyFont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4" xfId="0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le Moskoff" id="{41759882-8CAD-AA41-83EC-6A89F67056E4}" userId="85c5816bed9b7986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26-04-08T19:16:00.90" personId="{41759882-8CAD-AA41-83EC-6A89F67056E4}" id="{960A2D6A-64D6-7044-985A-DB70777B27B8}">
    <text>Users can input their species' average BM here and obtain a prediction of HRA from column F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196EA-BD84-1049-98C6-1200F1315F37}">
  <dimension ref="A1:G37"/>
  <sheetViews>
    <sheetView tabSelected="1" workbookViewId="0">
      <selection activeCell="D31" sqref="D31"/>
    </sheetView>
  </sheetViews>
  <sheetFormatPr baseColWidth="10" defaultRowHeight="16" x14ac:dyDescent="0.2"/>
  <cols>
    <col min="1" max="1" width="11.83203125" customWidth="1"/>
    <col min="2" max="2" width="20.33203125" customWidth="1"/>
    <col min="3" max="3" width="32.6640625" customWidth="1"/>
    <col min="4" max="4" width="46.6640625" customWidth="1"/>
  </cols>
  <sheetData>
    <row r="1" spans="1:7" ht="56" customHeight="1" x14ac:dyDescent="0.2">
      <c r="A1" s="13" t="s">
        <v>34</v>
      </c>
      <c r="B1" s="13"/>
      <c r="C1" s="13"/>
      <c r="D1" s="13"/>
      <c r="E1" s="13"/>
      <c r="F1" s="13"/>
    </row>
    <row r="2" spans="1:7" ht="36" customHeight="1" x14ac:dyDescent="0.2">
      <c r="A2" s="7" t="s">
        <v>0</v>
      </c>
      <c r="B2" s="7" t="s">
        <v>1</v>
      </c>
      <c r="C2" s="6" t="s">
        <v>2</v>
      </c>
      <c r="D2" s="7" t="s">
        <v>17</v>
      </c>
      <c r="E2" s="11" t="s">
        <v>19</v>
      </c>
      <c r="F2" s="11" t="s">
        <v>20</v>
      </c>
      <c r="G2" s="8"/>
    </row>
    <row r="3" spans="1:7" ht="18" x14ac:dyDescent="0.2">
      <c r="A3" s="14" t="s">
        <v>4</v>
      </c>
      <c r="B3" s="7" t="s">
        <v>6</v>
      </c>
      <c r="C3" s="9"/>
      <c r="D3" s="10" t="s">
        <v>16</v>
      </c>
      <c r="E3" s="12"/>
      <c r="F3" s="12" t="e">
        <f>10^(0.15 *LOG10(E3) + 1.1)</f>
        <v>#NUM!</v>
      </c>
    </row>
    <row r="4" spans="1:7" ht="18" x14ac:dyDescent="0.2">
      <c r="A4" s="14"/>
      <c r="B4" s="7" t="s">
        <v>7</v>
      </c>
      <c r="C4" s="9"/>
      <c r="D4" s="10" t="s">
        <v>21</v>
      </c>
      <c r="E4" s="12"/>
      <c r="F4" s="12" t="e">
        <f>10^(0.81 *LOG10(E4) + 1.23)</f>
        <v>#NUM!</v>
      </c>
    </row>
    <row r="5" spans="1:7" ht="18" x14ac:dyDescent="0.2">
      <c r="A5" s="14"/>
      <c r="B5" s="14" t="s">
        <v>5</v>
      </c>
      <c r="C5" s="7" t="s">
        <v>10</v>
      </c>
      <c r="D5" s="10" t="s">
        <v>18</v>
      </c>
      <c r="E5" s="12"/>
      <c r="F5" s="12" t="e">
        <f>10^(1  *LOG10(E5) - 1.47)</f>
        <v>#NUM!</v>
      </c>
    </row>
    <row r="6" spans="1:7" ht="18" x14ac:dyDescent="0.2">
      <c r="A6" s="14"/>
      <c r="B6" s="14"/>
      <c r="C6" s="7" t="s">
        <v>33</v>
      </c>
      <c r="D6" s="10" t="s">
        <v>22</v>
      </c>
      <c r="E6" s="12"/>
      <c r="F6" s="12" t="e">
        <f>10^(1*LOG10(E6)-1.07)</f>
        <v>#NUM!</v>
      </c>
    </row>
    <row r="7" spans="1:7" ht="18" x14ac:dyDescent="0.2">
      <c r="A7" s="14"/>
      <c r="B7" s="14"/>
      <c r="C7" s="7" t="s">
        <v>15</v>
      </c>
      <c r="D7" s="10" t="s">
        <v>23</v>
      </c>
      <c r="E7" s="12"/>
      <c r="F7" s="12" t="e">
        <f>10^(1.07 *LOG10(E7)  - 0.79)</f>
        <v>#NUM!</v>
      </c>
    </row>
    <row r="8" spans="1:7" ht="18" x14ac:dyDescent="0.2">
      <c r="A8" s="14" t="s">
        <v>8</v>
      </c>
      <c r="B8" s="14" t="s">
        <v>7</v>
      </c>
      <c r="C8" s="7" t="s">
        <v>10</v>
      </c>
      <c r="D8" s="10" t="s">
        <v>24</v>
      </c>
      <c r="E8" s="12"/>
      <c r="F8" s="12" t="e">
        <f>10^(2.11 *LOG10(E8)  - 1.49)</f>
        <v>#NUM!</v>
      </c>
    </row>
    <row r="9" spans="1:7" ht="18" x14ac:dyDescent="0.2">
      <c r="A9" s="14"/>
      <c r="B9" s="14"/>
      <c r="C9" s="7" t="s">
        <v>15</v>
      </c>
      <c r="D9" s="10" t="s">
        <v>25</v>
      </c>
      <c r="E9" s="12"/>
      <c r="F9" s="12" t="e">
        <f>10^( 1.22 *LOG10(E9) - 2.02)</f>
        <v>#NUM!</v>
      </c>
    </row>
    <row r="10" spans="1:7" ht="18" x14ac:dyDescent="0.2">
      <c r="A10" s="14"/>
      <c r="B10" s="10" t="s">
        <v>14</v>
      </c>
      <c r="C10" s="9"/>
      <c r="D10" s="10" t="s">
        <v>26</v>
      </c>
      <c r="E10" s="12"/>
      <c r="F10" s="12" t="e">
        <f>10^(0.26 *LOG10(E10) - 0.07)</f>
        <v>#NUM!</v>
      </c>
    </row>
    <row r="11" spans="1:7" ht="18" x14ac:dyDescent="0.2">
      <c r="A11" s="14" t="s">
        <v>3</v>
      </c>
      <c r="B11" s="7" t="s">
        <v>5</v>
      </c>
      <c r="C11" s="9"/>
      <c r="D11" s="10" t="s">
        <v>27</v>
      </c>
      <c r="E11" s="12"/>
      <c r="F11" s="12" t="e">
        <f>10^(1.19 *LOG10(E11) + 0.02)</f>
        <v>#NUM!</v>
      </c>
    </row>
    <row r="12" spans="1:7" ht="18" x14ac:dyDescent="0.2">
      <c r="A12" s="14"/>
      <c r="B12" s="7" t="s">
        <v>7</v>
      </c>
      <c r="C12" s="9"/>
      <c r="D12" s="10" t="s">
        <v>28</v>
      </c>
      <c r="E12" s="12"/>
      <c r="F12" s="12" t="e">
        <f>10^( 0.37 *LOG10(E12) + 3.45)</f>
        <v>#NUM!</v>
      </c>
    </row>
    <row r="13" spans="1:7" ht="18" x14ac:dyDescent="0.2">
      <c r="A13" s="14" t="s">
        <v>9</v>
      </c>
      <c r="B13" s="15" t="s">
        <v>5</v>
      </c>
      <c r="C13" s="10" t="s">
        <v>15</v>
      </c>
      <c r="D13" s="10" t="s">
        <v>29</v>
      </c>
      <c r="E13" s="12"/>
      <c r="F13" s="12" t="e">
        <f>10^( 1.27 *LOG10(E13) - 0.77)</f>
        <v>#NUM!</v>
      </c>
    </row>
    <row r="14" spans="1:7" ht="18" x14ac:dyDescent="0.2">
      <c r="A14" s="14"/>
      <c r="B14" s="16"/>
      <c r="C14" s="7" t="s">
        <v>10</v>
      </c>
      <c r="D14" s="10" t="s">
        <v>30</v>
      </c>
      <c r="E14" s="12"/>
      <c r="F14" s="12" t="e">
        <f>10^(0.84 *LOG10(E14) - 2.14)</f>
        <v>#NUM!</v>
      </c>
    </row>
    <row r="15" spans="1:7" ht="18" x14ac:dyDescent="0.2">
      <c r="A15" s="7" t="s">
        <v>11</v>
      </c>
      <c r="B15" s="7" t="s">
        <v>12</v>
      </c>
      <c r="C15" s="9"/>
      <c r="D15" s="10" t="s">
        <v>31</v>
      </c>
      <c r="E15" s="12"/>
      <c r="F15" s="12" t="e">
        <f>10^( 1.1 *LOG10(E15) - 0.37)</f>
        <v>#NUM!</v>
      </c>
    </row>
    <row r="16" spans="1:7" ht="18" x14ac:dyDescent="0.2">
      <c r="A16" s="7" t="s">
        <v>13</v>
      </c>
      <c r="B16" s="7" t="s">
        <v>12</v>
      </c>
      <c r="C16" s="9"/>
      <c r="D16" s="10" t="s">
        <v>32</v>
      </c>
      <c r="E16" s="12"/>
      <c r="F16" s="12" t="e">
        <f>10^( 1.44 *LOG10(E16) - 0.76)</f>
        <v>#NUM!</v>
      </c>
    </row>
    <row r="18" spans="1:6" x14ac:dyDescent="0.2">
      <c r="A18" s="5"/>
    </row>
    <row r="19" spans="1:6" x14ac:dyDescent="0.2">
      <c r="C19" s="3"/>
      <c r="D19" s="4"/>
    </row>
    <row r="20" spans="1:6" x14ac:dyDescent="0.2">
      <c r="C20" s="3"/>
      <c r="D20" s="4"/>
    </row>
    <row r="21" spans="1:6" x14ac:dyDescent="0.2">
      <c r="C21" s="3"/>
    </row>
    <row r="26" spans="1:6" x14ac:dyDescent="0.2">
      <c r="E26" s="1"/>
      <c r="F26" s="2"/>
    </row>
    <row r="27" spans="1:6" x14ac:dyDescent="0.2">
      <c r="E27" s="1"/>
      <c r="F27" s="2"/>
    </row>
    <row r="28" spans="1:6" x14ac:dyDescent="0.2">
      <c r="E28" s="1"/>
      <c r="F28" s="2"/>
    </row>
    <row r="29" spans="1:6" x14ac:dyDescent="0.2">
      <c r="E29" s="1"/>
      <c r="F29" s="2"/>
    </row>
    <row r="30" spans="1:6" x14ac:dyDescent="0.2">
      <c r="E30" s="1"/>
      <c r="F30" s="2"/>
    </row>
    <row r="31" spans="1:6" x14ac:dyDescent="0.2">
      <c r="E31" s="1"/>
      <c r="F31" s="2"/>
    </row>
    <row r="32" spans="1:6" x14ac:dyDescent="0.2">
      <c r="E32" s="1"/>
      <c r="F32" s="2"/>
    </row>
    <row r="33" spans="5:6" x14ac:dyDescent="0.2">
      <c r="E33" s="1"/>
      <c r="F33" s="2"/>
    </row>
    <row r="34" spans="5:6" x14ac:dyDescent="0.2">
      <c r="E34" s="1"/>
      <c r="F34" s="2"/>
    </row>
    <row r="35" spans="5:6" x14ac:dyDescent="0.2">
      <c r="E35" s="1"/>
      <c r="F35" s="2"/>
    </row>
    <row r="36" spans="5:6" x14ac:dyDescent="0.2">
      <c r="E36" s="1"/>
      <c r="F36" s="2"/>
    </row>
    <row r="37" spans="5:6" x14ac:dyDescent="0.2">
      <c r="E37" s="1"/>
      <c r="F37" s="2"/>
    </row>
  </sheetData>
  <mergeCells count="8">
    <mergeCell ref="A1:F1"/>
    <mergeCell ref="A3:A7"/>
    <mergeCell ref="A8:A10"/>
    <mergeCell ref="A11:A12"/>
    <mergeCell ref="A13:A14"/>
    <mergeCell ref="B5:B7"/>
    <mergeCell ref="B8:B9"/>
    <mergeCell ref="B13:B14"/>
  </mergeCells>
  <phoneticPr fontId="4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Dale Moskoff</dc:creator>
  <cp:lastModifiedBy>Dale Moskoff</cp:lastModifiedBy>
  <dcterms:created xsi:type="dcterms:W3CDTF">2026-02-21T21:33:19Z</dcterms:created>
  <dcterms:modified xsi:type="dcterms:W3CDTF">2026-06-06T20:05:47Z</dcterms:modified>
</cp:coreProperties>
</file>